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FD89EFD-1E3A-45FF-9694-F9C9FF374DD0}" xr6:coauthVersionLast="47" xr6:coauthVersionMax="47" xr10:uidLastSave="{00000000-0000-0000-0000-000000000000}"/>
  <bookViews>
    <workbookView xWindow="-120" yWindow="-120" windowWidth="51840" windowHeight="21120" xr2:uid="{A0988266-AFC6-4200-9CDA-2073F21634AE}"/>
  </bookViews>
  <sheets>
    <sheet name="UCP" sheetId="1" r:id="rId1"/>
  </sheets>
  <calcPr calcId="0"/>
</workbook>
</file>

<file path=xl/calcChain.xml><?xml version="1.0" encoding="utf-8"?>
<calcChain xmlns="http://schemas.openxmlformats.org/spreadsheetml/2006/main">
  <c r="E54" i="1" l="1"/>
  <c r="D7" i="1"/>
  <c r="E22" i="1"/>
  <c r="E38" i="1"/>
  <c r="E39" i="1" s="1"/>
  <c r="E53" i="1"/>
  <c r="B60" i="1" l="1"/>
  <c r="B61" i="1" s="1"/>
</calcChain>
</file>

<file path=xl/sharedStrings.xml><?xml version="1.0" encoding="utf-8"?>
<sst xmlns="http://schemas.openxmlformats.org/spreadsheetml/2006/main" count="103" uniqueCount="79">
  <si>
    <t>Use Case</t>
  </si>
  <si>
    <t>T1</t>
  </si>
  <si>
    <t>T2</t>
  </si>
  <si>
    <t>T3</t>
  </si>
  <si>
    <t>T4</t>
  </si>
  <si>
    <t>T5</t>
  </si>
  <si>
    <t>0.5</t>
  </si>
  <si>
    <t>1.5</t>
  </si>
  <si>
    <t>T6</t>
  </si>
  <si>
    <t>T7</t>
  </si>
  <si>
    <t>T8</t>
  </si>
  <si>
    <t>T9</t>
  </si>
  <si>
    <t>T10</t>
  </si>
  <si>
    <t>TCF</t>
  </si>
  <si>
    <t>E1</t>
  </si>
  <si>
    <t>E2</t>
  </si>
  <si>
    <t>E3</t>
  </si>
  <si>
    <t>E4</t>
  </si>
  <si>
    <t>E5</t>
  </si>
  <si>
    <t>E6</t>
  </si>
  <si>
    <t>E7</t>
  </si>
  <si>
    <t>E8</t>
  </si>
  <si>
    <t>EF</t>
  </si>
  <si>
    <t>UCP=(UUCW+UAW)*TCF*EF</t>
  </si>
  <si>
    <t>UCP</t>
  </si>
  <si>
    <t>Экологические факторы (EF - Environmental Factors)</t>
  </si>
  <si>
    <t>Фактор</t>
  </si>
  <si>
    <t>Описание</t>
  </si>
  <si>
    <t>Вес</t>
  </si>
  <si>
    <t>Оценка</t>
  </si>
  <si>
    <t>Воздействие</t>
  </si>
  <si>
    <t>Опыт разработки</t>
  </si>
  <si>
    <t>Опыт команды</t>
  </si>
  <si>
    <t>Опыт проекта</t>
  </si>
  <si>
    <t>Технические способности</t>
  </si>
  <si>
    <t>Мотивация</t>
  </si>
  <si>
    <t>Стабильность требований</t>
  </si>
  <si>
    <t>Работа с неполный штат</t>
  </si>
  <si>
    <t>Языковая подготовленность</t>
  </si>
  <si>
    <t>Итого</t>
  </si>
  <si>
    <t>Технические факторы сложности (TCF - Technical Complexity Factors)</t>
  </si>
  <si>
    <t>Распределенная система</t>
  </si>
  <si>
    <t>Цели производительности</t>
  </si>
  <si>
    <t>Эффективность для конечного пользователя</t>
  </si>
  <si>
    <t>Сложная обработка</t>
  </si>
  <si>
    <t>Переиспользуемый код</t>
  </si>
  <si>
    <t>Легкость установки</t>
  </si>
  <si>
    <t>Легкость использования</t>
  </si>
  <si>
    <t>Портативность</t>
  </si>
  <si>
    <t>Легкость изменений</t>
  </si>
  <si>
    <t>Совместное использование</t>
  </si>
  <si>
    <t>Таблица Use Cases (Use Cases Table)</t>
  </si>
  <si>
    <t>№</t>
  </si>
  <si>
    <t>Количество транзакций</t>
  </si>
  <si>
    <t>Сложность</t>
  </si>
  <si>
    <t>Настройка аккаунта</t>
  </si>
  <si>
    <t>Средняя</t>
  </si>
  <si>
    <t>Добавление метода оплаты</t>
  </si>
  <si>
    <t>Простой</t>
  </si>
  <si>
    <t>Установка напоминания о платеже</t>
  </si>
  <si>
    <t>Отслеживание сроков платежей</t>
  </si>
  <si>
    <t>Отправка напоминаний</t>
  </si>
  <si>
    <t>Сложная</t>
  </si>
  <si>
    <t>Просмотр истории платежей</t>
  </si>
  <si>
    <t>Редактирование настроек оплаты</t>
  </si>
  <si>
    <t>Удаление напоминания о платеже</t>
  </si>
  <si>
    <t>Просмотр уведомлений</t>
  </si>
  <si>
    <t>Управление подписками на оплату</t>
  </si>
  <si>
    <t>UUCW</t>
  </si>
  <si>
    <t>UAW</t>
  </si>
  <si>
    <t>Таблица типов акторов (Actor Types Table)</t>
  </si>
  <si>
    <t>Актор</t>
  </si>
  <si>
    <t>Тип актера</t>
  </si>
  <si>
    <t>Пользователь</t>
  </si>
  <si>
    <t>Сложный</t>
  </si>
  <si>
    <t>Платежная служба</t>
  </si>
  <si>
    <t>Система уведомлений</t>
  </si>
  <si>
    <t>Итог</t>
  </si>
  <si>
    <t>1UCP =+-20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</si>
</sst>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6" fillId="2" borderId="0" xfId="6" applyAlignment="1">
      <alignment horizontal="left"/>
    </xf>
    <xf numFmtId="0" fontId="8" fillId="4" borderId="0" xfId="8" applyAlignment="1">
      <alignment horizontal="left" vertical="center" wrapText="1"/>
    </xf>
    <xf numFmtId="0" fontId="8" fillId="4" borderId="0" xfId="8" applyAlignment="1">
      <alignment horizontal="left"/>
    </xf>
    <xf numFmtId="0" fontId="1" fillId="10" borderId="0" xfId="19" applyAlignment="1">
      <alignment horizontal="left" vertical="center" wrapText="1"/>
    </xf>
    <xf numFmtId="0" fontId="1" fillId="10" borderId="0" xfId="19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0EFF-C779-493E-8599-59FE1BDAC0FF}">
  <dimension ref="A1:F61"/>
  <sheetViews>
    <sheetView tabSelected="1" workbookViewId="0">
      <selection activeCell="J50" sqref="J50"/>
    </sheetView>
  </sheetViews>
  <sheetFormatPr defaultRowHeight="15" x14ac:dyDescent="0.25"/>
  <cols>
    <col min="1" max="1" width="14.28515625" style="1" customWidth="1"/>
    <col min="2" max="2" width="18.42578125" style="1" customWidth="1"/>
    <col min="3" max="3" width="17.28515625" style="1" customWidth="1"/>
    <col min="4" max="4" width="26" style="1" customWidth="1"/>
    <col min="5" max="5" width="25.85546875" style="1" customWidth="1"/>
    <col min="6" max="16384" width="9.140625" style="1"/>
  </cols>
  <sheetData>
    <row r="1" spans="1:5" ht="18" x14ac:dyDescent="0.25">
      <c r="A1" s="2" t="s">
        <v>70</v>
      </c>
    </row>
    <row r="3" spans="1:5" x14ac:dyDescent="0.25">
      <c r="A3" s="4" t="s">
        <v>52</v>
      </c>
      <c r="B3" s="4" t="s">
        <v>71</v>
      </c>
      <c r="C3" s="4" t="s">
        <v>72</v>
      </c>
      <c r="D3" s="4" t="s">
        <v>28</v>
      </c>
    </row>
    <row r="4" spans="1:5" x14ac:dyDescent="0.25">
      <c r="A4" s="4">
        <v>1</v>
      </c>
      <c r="B4" s="6" t="s">
        <v>73</v>
      </c>
      <c r="C4" s="6" t="s">
        <v>74</v>
      </c>
      <c r="D4" s="6">
        <v>3</v>
      </c>
    </row>
    <row r="5" spans="1:5" x14ac:dyDescent="0.25">
      <c r="A5" s="4">
        <v>2</v>
      </c>
      <c r="B5" s="6" t="s">
        <v>75</v>
      </c>
      <c r="C5" s="6" t="s">
        <v>58</v>
      </c>
      <c r="D5" s="6">
        <v>1</v>
      </c>
    </row>
    <row r="6" spans="1:5" ht="30" x14ac:dyDescent="0.25">
      <c r="A6" s="4">
        <v>3</v>
      </c>
      <c r="B6" s="6" t="s">
        <v>76</v>
      </c>
      <c r="C6" s="6" t="s">
        <v>58</v>
      </c>
      <c r="D6" s="6">
        <v>1</v>
      </c>
    </row>
    <row r="7" spans="1:5" x14ac:dyDescent="0.25">
      <c r="D7" s="1">
        <f>SUM(D4:D6)</f>
        <v>5</v>
      </c>
      <c r="E7" s="1" t="s">
        <v>69</v>
      </c>
    </row>
    <row r="9" spans="1:5" ht="18" x14ac:dyDescent="0.25">
      <c r="A9" s="2" t="s">
        <v>51</v>
      </c>
    </row>
    <row r="11" spans="1:5" ht="30" customHeight="1" x14ac:dyDescent="0.25">
      <c r="A11" s="4" t="s">
        <v>52</v>
      </c>
      <c r="B11" s="4" t="s">
        <v>0</v>
      </c>
      <c r="C11" s="4" t="s">
        <v>53</v>
      </c>
      <c r="D11" s="4" t="s">
        <v>54</v>
      </c>
      <c r="E11" s="4" t="s">
        <v>28</v>
      </c>
    </row>
    <row r="12" spans="1:5" ht="30" customHeight="1" x14ac:dyDescent="0.25">
      <c r="A12" s="4">
        <v>1</v>
      </c>
      <c r="B12" s="6" t="s">
        <v>55</v>
      </c>
      <c r="C12" s="6">
        <v>5</v>
      </c>
      <c r="D12" s="6" t="s">
        <v>56</v>
      </c>
      <c r="E12" s="6">
        <v>10</v>
      </c>
    </row>
    <row r="13" spans="1:5" ht="30" customHeight="1" x14ac:dyDescent="0.25">
      <c r="A13" s="4">
        <v>2</v>
      </c>
      <c r="B13" s="6" t="s">
        <v>57</v>
      </c>
      <c r="C13" s="6">
        <v>4</v>
      </c>
      <c r="D13" s="6" t="s">
        <v>58</v>
      </c>
      <c r="E13" s="6">
        <v>5</v>
      </c>
    </row>
    <row r="14" spans="1:5" ht="45" customHeight="1" x14ac:dyDescent="0.25">
      <c r="A14" s="4">
        <v>3</v>
      </c>
      <c r="B14" s="6" t="s">
        <v>59</v>
      </c>
      <c r="C14" s="6">
        <v>6</v>
      </c>
      <c r="D14" s="6" t="s">
        <v>56</v>
      </c>
      <c r="E14" s="6">
        <v>10</v>
      </c>
    </row>
    <row r="15" spans="1:5" ht="30" customHeight="1" x14ac:dyDescent="0.25">
      <c r="A15" s="4">
        <v>4</v>
      </c>
      <c r="B15" s="6" t="s">
        <v>60</v>
      </c>
      <c r="C15" s="6">
        <v>6</v>
      </c>
      <c r="D15" s="6" t="s">
        <v>56</v>
      </c>
      <c r="E15" s="6">
        <v>10</v>
      </c>
    </row>
    <row r="16" spans="1:5" ht="30" customHeight="1" x14ac:dyDescent="0.25">
      <c r="A16" s="4">
        <v>5</v>
      </c>
      <c r="B16" s="6" t="s">
        <v>61</v>
      </c>
      <c r="C16" s="6">
        <v>5</v>
      </c>
      <c r="D16" s="6" t="s">
        <v>62</v>
      </c>
      <c r="E16" s="6">
        <v>15</v>
      </c>
    </row>
    <row r="17" spans="1:6" ht="30" customHeight="1" x14ac:dyDescent="0.25">
      <c r="A17" s="4">
        <v>6</v>
      </c>
      <c r="B17" s="6" t="s">
        <v>63</v>
      </c>
      <c r="C17" s="6">
        <v>7</v>
      </c>
      <c r="D17" s="6" t="s">
        <v>56</v>
      </c>
      <c r="E17" s="6">
        <v>10</v>
      </c>
    </row>
    <row r="18" spans="1:6" ht="30" customHeight="1" x14ac:dyDescent="0.25">
      <c r="A18" s="5">
        <v>7</v>
      </c>
      <c r="B18" s="6" t="s">
        <v>64</v>
      </c>
      <c r="C18" s="6">
        <v>4</v>
      </c>
      <c r="D18" s="6" t="s">
        <v>58</v>
      </c>
      <c r="E18" s="6">
        <v>5</v>
      </c>
    </row>
    <row r="19" spans="1:6" ht="45" customHeight="1" x14ac:dyDescent="0.25">
      <c r="A19" s="4">
        <v>8</v>
      </c>
      <c r="B19" s="6" t="s">
        <v>65</v>
      </c>
      <c r="C19" s="6">
        <v>3</v>
      </c>
      <c r="D19" s="6" t="s">
        <v>58</v>
      </c>
      <c r="E19" s="6">
        <v>5</v>
      </c>
    </row>
    <row r="20" spans="1:6" ht="30" customHeight="1" x14ac:dyDescent="0.25">
      <c r="A20" s="4">
        <v>9</v>
      </c>
      <c r="B20" s="7" t="s">
        <v>66</v>
      </c>
      <c r="C20" s="7">
        <v>6</v>
      </c>
      <c r="D20" s="7" t="s">
        <v>56</v>
      </c>
      <c r="E20" s="7">
        <v>10</v>
      </c>
    </row>
    <row r="21" spans="1:6" ht="45" customHeight="1" x14ac:dyDescent="0.25">
      <c r="A21" s="4">
        <v>10</v>
      </c>
      <c r="B21" s="6" t="s">
        <v>67</v>
      </c>
      <c r="C21" s="6">
        <v>5</v>
      </c>
      <c r="D21" s="6" t="s">
        <v>62</v>
      </c>
      <c r="E21" s="6">
        <v>15</v>
      </c>
    </row>
    <row r="22" spans="1:6" x14ac:dyDescent="0.25">
      <c r="E22" s="1">
        <f>SUM(E12:E21)</f>
        <v>95</v>
      </c>
      <c r="F22" s="1" t="s">
        <v>68</v>
      </c>
    </row>
    <row r="25" spans="1:6" ht="18" x14ac:dyDescent="0.25">
      <c r="A25" s="2" t="s">
        <v>40</v>
      </c>
    </row>
    <row r="27" spans="1:6" x14ac:dyDescent="0.25">
      <c r="A27" s="4" t="s">
        <v>26</v>
      </c>
      <c r="B27" s="4" t="s">
        <v>27</v>
      </c>
      <c r="C27" s="4" t="s">
        <v>28</v>
      </c>
      <c r="D27" s="4" t="s">
        <v>29</v>
      </c>
      <c r="E27" s="4" t="s">
        <v>30</v>
      </c>
    </row>
    <row r="28" spans="1:6" ht="30" x14ac:dyDescent="0.25">
      <c r="A28" s="4" t="s">
        <v>1</v>
      </c>
      <c r="B28" s="6" t="s">
        <v>41</v>
      </c>
      <c r="C28" s="6">
        <v>2</v>
      </c>
      <c r="D28" s="6">
        <v>3</v>
      </c>
      <c r="E28" s="6">
        <v>6</v>
      </c>
    </row>
    <row r="29" spans="1:6" ht="45" x14ac:dyDescent="0.25">
      <c r="A29" s="4" t="s">
        <v>2</v>
      </c>
      <c r="B29" s="6" t="s">
        <v>42</v>
      </c>
      <c r="C29" s="6">
        <v>2</v>
      </c>
      <c r="D29" s="6">
        <v>3</v>
      </c>
      <c r="E29" s="6">
        <v>6</v>
      </c>
    </row>
    <row r="30" spans="1:6" ht="45" x14ac:dyDescent="0.25">
      <c r="A30" s="4" t="s">
        <v>3</v>
      </c>
      <c r="B30" s="6" t="s">
        <v>43</v>
      </c>
      <c r="C30" s="6">
        <v>1</v>
      </c>
      <c r="D30" s="6">
        <v>4</v>
      </c>
      <c r="E30" s="6">
        <v>4</v>
      </c>
    </row>
    <row r="31" spans="1:6" ht="30" x14ac:dyDescent="0.25">
      <c r="A31" s="4" t="s">
        <v>4</v>
      </c>
      <c r="B31" s="6" t="s">
        <v>44</v>
      </c>
      <c r="C31" s="6">
        <v>1</v>
      </c>
      <c r="D31" s="6">
        <v>2</v>
      </c>
      <c r="E31" s="6">
        <v>2</v>
      </c>
    </row>
    <row r="32" spans="1:6" ht="30" x14ac:dyDescent="0.25">
      <c r="A32" s="4" t="s">
        <v>5</v>
      </c>
      <c r="B32" s="6" t="s">
        <v>45</v>
      </c>
      <c r="C32" s="6" t="s">
        <v>6</v>
      </c>
      <c r="D32" s="6">
        <v>3</v>
      </c>
      <c r="E32" s="6" t="s">
        <v>7</v>
      </c>
    </row>
    <row r="33" spans="1:5" ht="30" x14ac:dyDescent="0.25">
      <c r="A33" s="4" t="s">
        <v>8</v>
      </c>
      <c r="B33" s="6" t="s">
        <v>46</v>
      </c>
      <c r="C33" s="6" t="s">
        <v>6</v>
      </c>
      <c r="D33" s="6">
        <v>4</v>
      </c>
      <c r="E33" s="6">
        <v>2</v>
      </c>
    </row>
    <row r="34" spans="1:5" ht="30" x14ac:dyDescent="0.25">
      <c r="A34" s="5" t="s">
        <v>9</v>
      </c>
      <c r="B34" s="6" t="s">
        <v>47</v>
      </c>
      <c r="C34" s="6">
        <v>1</v>
      </c>
      <c r="D34" s="6">
        <v>5</v>
      </c>
      <c r="E34" s="6">
        <v>5</v>
      </c>
    </row>
    <row r="35" spans="1:5" x14ac:dyDescent="0.25">
      <c r="A35" s="4" t="s">
        <v>10</v>
      </c>
      <c r="B35" s="6" t="s">
        <v>48</v>
      </c>
      <c r="C35" s="6">
        <v>1</v>
      </c>
      <c r="D35" s="6">
        <v>3</v>
      </c>
      <c r="E35" s="6">
        <v>3</v>
      </c>
    </row>
    <row r="36" spans="1:5" x14ac:dyDescent="0.25">
      <c r="A36" s="4" t="s">
        <v>11</v>
      </c>
      <c r="B36" s="7" t="s">
        <v>49</v>
      </c>
      <c r="C36" s="7">
        <v>1</v>
      </c>
      <c r="D36" s="7">
        <v>3</v>
      </c>
      <c r="E36" s="7">
        <v>3</v>
      </c>
    </row>
    <row r="37" spans="1:5" ht="30" x14ac:dyDescent="0.25">
      <c r="A37" s="4" t="s">
        <v>12</v>
      </c>
      <c r="B37" s="6" t="s">
        <v>50</v>
      </c>
      <c r="C37" s="6">
        <v>1</v>
      </c>
      <c r="D37" s="6">
        <v>2</v>
      </c>
      <c r="E37" s="6">
        <v>2</v>
      </c>
    </row>
    <row r="38" spans="1:5" x14ac:dyDescent="0.25">
      <c r="A38" s="4" t="s">
        <v>39</v>
      </c>
      <c r="B38" s="6"/>
      <c r="C38" s="6"/>
      <c r="D38" s="6"/>
      <c r="E38" s="6">
        <f>SUM(E28:E37)</f>
        <v>33</v>
      </c>
    </row>
    <row r="39" spans="1:5" x14ac:dyDescent="0.25">
      <c r="A39" s="1" t="s">
        <v>13</v>
      </c>
      <c r="E39" s="1">
        <f>0.6+(0.01*E38)</f>
        <v>0.92999999999999994</v>
      </c>
    </row>
    <row r="42" spans="1:5" ht="18" x14ac:dyDescent="0.25">
      <c r="A42" s="2" t="s">
        <v>25</v>
      </c>
    </row>
    <row r="44" spans="1:5" x14ac:dyDescent="0.25">
      <c r="A44" s="4" t="s">
        <v>26</v>
      </c>
      <c r="B44" s="4" t="s">
        <v>27</v>
      </c>
      <c r="C44" s="4" t="s">
        <v>28</v>
      </c>
      <c r="D44" s="4" t="s">
        <v>29</v>
      </c>
      <c r="E44" s="4" t="s">
        <v>30</v>
      </c>
    </row>
    <row r="45" spans="1:5" x14ac:dyDescent="0.25">
      <c r="A45" s="4" t="s">
        <v>14</v>
      </c>
      <c r="B45" s="6" t="s">
        <v>31</v>
      </c>
      <c r="C45" s="6" t="s">
        <v>7</v>
      </c>
      <c r="D45" s="6">
        <v>2</v>
      </c>
      <c r="E45" s="6">
        <v>3</v>
      </c>
    </row>
    <row r="46" spans="1:5" x14ac:dyDescent="0.25">
      <c r="A46" s="4" t="s">
        <v>15</v>
      </c>
      <c r="B46" s="6" t="s">
        <v>32</v>
      </c>
      <c r="C46" s="6" t="s">
        <v>6</v>
      </c>
      <c r="D46" s="6">
        <v>1</v>
      </c>
      <c r="E46" s="6" t="s">
        <v>6</v>
      </c>
    </row>
    <row r="47" spans="1:5" x14ac:dyDescent="0.25">
      <c r="A47" s="4" t="s">
        <v>16</v>
      </c>
      <c r="B47" s="6" t="s">
        <v>33</v>
      </c>
      <c r="C47" s="6">
        <v>1</v>
      </c>
      <c r="D47" s="6">
        <v>3</v>
      </c>
      <c r="E47" s="6">
        <v>3</v>
      </c>
    </row>
    <row r="48" spans="1:5" ht="30" customHeight="1" x14ac:dyDescent="0.25">
      <c r="A48" s="4" t="s">
        <v>17</v>
      </c>
      <c r="B48" s="6" t="s">
        <v>34</v>
      </c>
      <c r="C48" s="6">
        <v>1</v>
      </c>
      <c r="D48" s="6">
        <v>3</v>
      </c>
      <c r="E48" s="6">
        <v>3</v>
      </c>
    </row>
    <row r="49" spans="1:5" x14ac:dyDescent="0.25">
      <c r="A49" s="4" t="s">
        <v>18</v>
      </c>
      <c r="B49" s="6" t="s">
        <v>35</v>
      </c>
      <c r="C49" s="6">
        <v>3</v>
      </c>
      <c r="D49" s="6">
        <v>3</v>
      </c>
      <c r="E49" s="6">
        <v>9</v>
      </c>
    </row>
    <row r="50" spans="1:5" ht="30" customHeight="1" x14ac:dyDescent="0.25">
      <c r="A50" s="4" t="s">
        <v>19</v>
      </c>
      <c r="B50" s="6" t="s">
        <v>36</v>
      </c>
      <c r="C50" s="6">
        <v>2</v>
      </c>
      <c r="D50" s="6">
        <v>2</v>
      </c>
      <c r="E50" s="6">
        <v>4</v>
      </c>
    </row>
    <row r="51" spans="1:5" ht="30" customHeight="1" x14ac:dyDescent="0.25">
      <c r="A51" s="4" t="s">
        <v>20</v>
      </c>
      <c r="B51" s="6" t="s">
        <v>37</v>
      </c>
      <c r="C51" s="6">
        <v>-1</v>
      </c>
      <c r="D51" s="6">
        <v>4</v>
      </c>
      <c r="E51" s="6">
        <v>-4</v>
      </c>
    </row>
    <row r="52" spans="1:5" ht="30" customHeight="1" x14ac:dyDescent="0.25">
      <c r="A52" s="4" t="s">
        <v>21</v>
      </c>
      <c r="B52" s="6" t="s">
        <v>38</v>
      </c>
      <c r="C52" s="6" t="s">
        <v>6</v>
      </c>
      <c r="D52" s="6">
        <v>3</v>
      </c>
      <c r="E52" s="6" t="s">
        <v>7</v>
      </c>
    </row>
    <row r="53" spans="1:5" x14ac:dyDescent="0.25">
      <c r="A53" s="5" t="s">
        <v>39</v>
      </c>
      <c r="B53" s="7"/>
      <c r="C53" s="7"/>
      <c r="D53" s="7"/>
      <c r="E53" s="7">
        <f>SUM(E45:E52)</f>
        <v>18</v>
      </c>
    </row>
    <row r="54" spans="1:5" x14ac:dyDescent="0.25">
      <c r="A54" t="s">
        <v>22</v>
      </c>
      <c r="E54" s="1">
        <f>1.4+(-0.03*E53)</f>
        <v>0.85999999999999988</v>
      </c>
    </row>
    <row r="58" spans="1:5" x14ac:dyDescent="0.25">
      <c r="A58" s="3" t="s">
        <v>77</v>
      </c>
      <c r="B58" s="3"/>
    </row>
    <row r="59" spans="1:5" x14ac:dyDescent="0.25">
      <c r="A59" s="3" t="s">
        <v>23</v>
      </c>
      <c r="B59" s="3"/>
    </row>
    <row r="60" spans="1:5" x14ac:dyDescent="0.25">
      <c r="A60" s="3" t="s">
        <v>24</v>
      </c>
      <c r="B60" s="3">
        <f>(D7+E22)*E39*E54</f>
        <v>79.97999999999999</v>
      </c>
    </row>
    <row r="61" spans="1:5" x14ac:dyDescent="0.25">
      <c r="A61" s="3" t="s">
        <v>78</v>
      </c>
      <c r="B61" s="3">
        <f>B60*20</f>
        <v>1599.6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Jawhar Maatouk</cp:lastModifiedBy>
  <dcterms:created xsi:type="dcterms:W3CDTF">2025-11-04T23:19:49Z</dcterms:created>
  <dcterms:modified xsi:type="dcterms:W3CDTF">2025-11-04T23:19:49Z</dcterms:modified>
</cp:coreProperties>
</file>